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8244f90bd5d4c0d" /></Relationships>
</file>

<file path=xl/workbook.xml><?xml version="1.0" encoding="utf-8"?>
<workbook xmlns="http://schemas.openxmlformats.org/spreadsheetml/2006/main" xmlns:ns1="http://schemas.openxmlformats.org/officeDocument/2006/relationships">
  <sheets>
    <sheet name="التقرير العام" sheetId="1" ns1:id="R76f765ff7ccc493c"/>
    <sheet name="المؤشرات والتوثيق" sheetId="2" ns1:id="Re3cce5a8ea734b43"/>
  </sheets>
  <definedNames>
    <definedName name="_xlnm.Print_Area" localSheetId="0">'التقرير العام'!$A$1:$D$31</definedName>
    <definedName name="_xlnm.Print_Titles" localSheetId="0">'التقرير العام'!$6:$6</definedName>
    <definedName name="_xlnm.Print_Area" localSheetId="1">'المؤشرات والتوثيق'!$A$1:$D$106</definedName>
    <definedName name="_xlnm.Print_Titles" localSheetId="1">'المؤشرات والتوثيق'!$5:$5</definedName>
  </definedNames>
</workbook>
</file>

<file path=xl/sharedStrings.xml><?xml version="1.0" encoding="utf-8"?>
<x:sst xmlns:x="http://schemas.openxmlformats.org/spreadsheetml/2006/main"/>
</file>

<file path=xl/styles.xml><?xml version="1.0" encoding="utf-8"?>
<styleSheet xmlns="http://schemas.openxmlformats.org/spreadsheetml/2006/main">
  <numFmts count="1">
    <numFmt numFmtId="200" formatCode="#,##0"/>
  </numFmts>
  <fonts count="7">
    <font>
      <sz val="11"/>
      <name val="Carlito"/>
    </font>
    <font>
      <sz val="11"/>
      <color rgb="FF25354A"/>
      <name val="Arial"/>
    </font>
    <font>
      <b/>
      <sz val="17"/>
      <color rgb="FF45234E"/>
      <name val="Arial"/>
    </font>
    <font>
      <sz val="11"/>
      <color rgb="FF596777"/>
      <name val="Arial"/>
    </font>
    <font>
      <sz val="11"/>
      <color rgb="FF8A4B13"/>
      <name val="Arial"/>
    </font>
    <font>
      <b/>
      <sz val="11"/>
      <color rgb="FF25354A"/>
      <name val="Arial"/>
    </font>
    <font>
      <b/>
      <sz val="11"/>
      <color rgb="FFFFFFFF"/>
      <name val="Arial"/>
    </font>
  </fonts>
  <fills count="5">
    <fill>
      <patternFill patternType="none"/>
    </fill>
    <fill>
      <patternFill patternType="gray125"/>
    </fill>
    <fill>
      <patternFill patternType="solid">
        <fgColor rgb="FFF5F2F7"/>
      </patternFill>
    </fill>
    <fill>
      <patternFill patternType="solid">
        <fgColor rgb="FFFFFFFF"/>
      </patternFill>
    </fill>
    <fill>
      <patternFill patternType="solid">
        <fgColor rgb="FF45234E"/>
      </patternFill>
    </fill>
  </fills>
  <borders count="3">
    <border>
      <left/>
      <right/>
      <top/>
      <bottom/>
      <diagonal/>
    </border>
    <border>
      <left/>
      <right/>
      <top/>
      <bottom style="medium">
        <color rgb="FF45234E"/>
      </bottom>
      <diagonal/>
    </border>
    <border>
      <left/>
      <right/>
      <top/>
      <bottom style="thin">
        <color rgb="FFE7E0EA"/>
      </bottom>
      <diagonal/>
    </border>
  </borders>
  <cellStyleXfs count="1">
    <xf numFmtId="0" fontId="0" fillId="0" borderId="0"/>
  </cellStyleXfs>
  <cellXfs count="35">
    <xf numFmtId="0" fontId="0" fillId="0" borderId="0" xfId="0"/>
    <xf numFmtId="0" fontId="1" fillId="0" borderId="0" xfId="0" applyNumberFormat="1" applyFont="1" applyFill="1" applyBorder="1"/>
    <xf numFmtId="0" fontId="1" fillId="0" borderId="0" xfId="0" applyNumberFormat="1" applyFont="1" applyFill="1" applyBorder="1" applyAlignment="1">
      <alignment vertical="center" readingOrder="0"/>
    </xf>
    <xf numFmtId="0" fontId="1" fillId="0" borderId="0" xfId="0" applyNumberFormat="1" applyFont="1" applyFill="1" applyBorder="1" applyAlignment="1">
      <alignment horizontal="right" vertical="center" readingOrder="0"/>
    </xf>
    <xf numFmtId="0" fontId="1" fillId="0" borderId="0" xfId="0" applyNumberFormat="1" applyFont="1" applyFill="1" applyBorder="1" applyAlignment="1">
      <alignment horizontal="right" vertical="center" wrapText="1" readingOrder="0"/>
    </xf>
    <xf numFmtId="0" fontId="2" fillId="0" borderId="0" xfId="0" applyNumberFormat="1" applyFont="1" applyFill="1" applyBorder="1" applyAlignment="1">
      <alignment horizontal="right" vertical="center" wrapText="1" readingOrder="0"/>
    </xf>
    <xf numFmtId="0" fontId="2" fillId="0" borderId="1" xfId="0" applyNumberFormat="1" applyFont="1" applyFill="1" applyBorder="1" applyAlignment="1">
      <alignment horizontal="right" vertical="center" wrapText="1" readingOrder="0"/>
    </xf>
    <xf numFmtId="0" fontId="3" fillId="0" borderId="0" xfId="0" applyNumberFormat="1" applyFont="1" applyFill="1" applyBorder="1" applyAlignment="1">
      <alignment horizontal="right" vertical="center" wrapText="1" readingOrder="0"/>
    </xf>
    <xf numFmtId="200" fontId="1" fillId="0" borderId="0" xfId="0" applyNumberFormat="1" applyFont="1" applyFill="1" applyBorder="1" applyAlignment="1">
      <alignment horizontal="right" vertical="center" wrapText="1" readingOrder="0"/>
    </xf>
    <xf numFmtId="200" fontId="1" fillId="0" borderId="0" xfId="0" applyNumberFormat="1" applyFont="1" applyFill="1" applyBorder="1" applyAlignment="1">
      <alignment horizontal="center" vertical="center" wrapText="1" readingOrder="0"/>
    </xf>
    <xf numFmtId="0" fontId="1" fillId="0" borderId="0" xfId="0" applyNumberFormat="1" applyFont="1" applyFill="1" applyBorder="1" applyAlignment="1">
      <alignment horizontal="right" vertical="center" wrapText="0" readingOrder="0"/>
    </xf>
    <xf numFmtId="0" fontId="1" fillId="0" borderId="0" xfId="0" applyNumberFormat="1" applyFont="1" applyFill="1" applyBorder="1" applyAlignment="1">
      <alignment horizontal="left" vertical="center" wrapText="0" readingOrder="0"/>
    </xf>
    <xf numFmtId="0" fontId="1" fillId="0" borderId="0" xfId="0" applyNumberFormat="1" applyFont="1" applyFill="1" applyBorder="1" applyAlignment="1">
      <alignment horizontal="left" vertical="center" wrapText="1" readingOrder="0"/>
    </xf>
    <xf numFmtId="0" fontId="4" fillId="0" borderId="0" xfId="0" applyNumberFormat="1" applyFont="1" applyFill="1" applyBorder="1" applyAlignment="1">
      <alignment horizontal="right" vertical="center" wrapText="1" readingOrder="0"/>
    </xf>
    <xf numFmtId="0" fontId="1" fillId="0" borderId="0" xfId="0" applyNumberFormat="1" applyFont="1" applyFill="1" applyBorder="1" applyAlignment="1">
      <alignment horizontal="center" vertical="center" wrapText="1" readingOrder="0"/>
    </xf>
    <xf numFmtId="0" fontId="5" fillId="0" borderId="0" xfId="0" applyNumberFormat="1" applyFont="1" applyFill="1" applyBorder="1" applyAlignment="1">
      <alignment horizontal="right" vertical="center" wrapText="1" readingOrder="0"/>
    </xf>
    <xf numFmtId="0" fontId="5" fillId="2" borderId="0" xfId="0" applyNumberFormat="1" applyFont="1" applyFill="1" applyBorder="1" applyAlignment="1">
      <alignment horizontal="right" vertical="center" wrapText="1" readingOrder="0"/>
    </xf>
    <xf numFmtId="200" fontId="1" fillId="2" borderId="0" xfId="0" applyNumberFormat="1" applyFont="1" applyFill="1" applyBorder="1" applyAlignment="1">
      <alignment horizontal="center" vertical="center" wrapText="1" readingOrder="0"/>
    </xf>
    <xf numFmtId="0" fontId="1" fillId="2" borderId="0" xfId="0" applyNumberFormat="1" applyFont="1" applyFill="1" applyBorder="1" applyAlignment="1">
      <alignment horizontal="right" vertical="center" wrapText="1" readingOrder="0"/>
    </xf>
    <xf numFmtId="0" fontId="1" fillId="2" borderId="0" xfId="0" applyNumberFormat="1" applyFont="1" applyFill="1" applyBorder="1" applyAlignment="1">
      <alignment horizontal="center" vertical="center" wrapText="1" readingOrder="0"/>
    </xf>
    <xf numFmtId="0" fontId="5" fillId="2" borderId="2" xfId="0" applyNumberFormat="1" applyFont="1" applyFill="1" applyBorder="1" applyAlignment="1">
      <alignment horizontal="right" vertical="center" wrapText="1" readingOrder="0"/>
    </xf>
    <xf numFmtId="200" fontId="1" fillId="2" borderId="2" xfId="0" applyNumberFormat="1" applyFont="1" applyFill="1" applyBorder="1" applyAlignment="1">
      <alignment horizontal="center" vertical="center" wrapText="1" readingOrder="0"/>
    </xf>
    <xf numFmtId="0" fontId="1" fillId="2" borderId="2" xfId="0" applyNumberFormat="1" applyFont="1" applyFill="1" applyBorder="1" applyAlignment="1">
      <alignment horizontal="right" vertical="center" wrapText="1" readingOrder="0"/>
    </xf>
    <xf numFmtId="0" fontId="1" fillId="2" borderId="2" xfId="0" applyNumberFormat="1" applyFont="1" applyFill="1" applyBorder="1" applyAlignment="1">
      <alignment horizontal="center" vertical="center" wrapText="1" readingOrder="0"/>
    </xf>
    <xf numFmtId="0" fontId="5" fillId="3" borderId="0" xfId="0" applyNumberFormat="1" applyFont="1" applyFill="1" applyBorder="1" applyAlignment="1">
      <alignment horizontal="right" vertical="center" wrapText="1" readingOrder="0"/>
    </xf>
    <xf numFmtId="200" fontId="1" fillId="3" borderId="0" xfId="0" applyNumberFormat="1" applyFont="1" applyFill="1" applyBorder="1" applyAlignment="1">
      <alignment horizontal="center" vertical="center" wrapText="1" readingOrder="0"/>
    </xf>
    <xf numFmtId="0" fontId="1" fillId="3" borderId="0" xfId="0" applyNumberFormat="1" applyFont="1" applyFill="1" applyBorder="1" applyAlignment="1">
      <alignment horizontal="right" vertical="center" wrapText="1" readingOrder="0"/>
    </xf>
    <xf numFmtId="0" fontId="1" fillId="3" borderId="0" xfId="0" applyNumberFormat="1" applyFont="1" applyFill="1" applyBorder="1" applyAlignment="1">
      <alignment horizontal="center" vertical="center" wrapText="1" readingOrder="0"/>
    </xf>
    <xf numFmtId="0" fontId="5" fillId="3" borderId="2" xfId="0" applyNumberFormat="1" applyFont="1" applyFill="1" applyBorder="1" applyAlignment="1">
      <alignment horizontal="right" vertical="center" wrapText="1" readingOrder="0"/>
    </xf>
    <xf numFmtId="200" fontId="1" fillId="3" borderId="2" xfId="0" applyNumberFormat="1" applyFont="1" applyFill="1" applyBorder="1" applyAlignment="1">
      <alignment horizontal="center" vertical="center" wrapText="1" readingOrder="0"/>
    </xf>
    <xf numFmtId="0" fontId="1" fillId="3" borderId="2" xfId="0" applyNumberFormat="1" applyFont="1" applyFill="1" applyBorder="1" applyAlignment="1">
      <alignment horizontal="right" vertical="center" wrapText="1" readingOrder="0"/>
    </xf>
    <xf numFmtId="0" fontId="1" fillId="3" borderId="2" xfId="0" applyNumberFormat="1" applyFont="1" applyFill="1" applyBorder="1" applyAlignment="1">
      <alignment horizontal="center" vertical="center" wrapText="1" readingOrder="0"/>
    </xf>
    <xf numFmtId="0" fontId="1" fillId="4" borderId="0" xfId="0" applyNumberFormat="1" applyFont="1" applyFill="1" applyBorder="1" applyAlignment="1">
      <alignment horizontal="right" vertical="center" wrapText="1" readingOrder="0"/>
    </xf>
    <xf numFmtId="0" fontId="6" fillId="4" borderId="0" xfId="0" applyNumberFormat="1" applyFont="1" applyFill="1" applyBorder="1" applyAlignment="1">
      <alignment horizontal="right" vertical="center" wrapText="1" readingOrder="0"/>
    </xf>
    <xf numFmtId="0" fontId="6" fillId="4" borderId="0" xfId="0" applyNumberFormat="1" applyFont="1" applyFill="1" applyBorder="1" applyAlignment="1">
      <alignment horizontal="center" vertical="center" wrapText="1" readingOrder="0"/>
    </xf>
  </cellXfs>
  <cellStyles count="1">
    <cellStyle name="Normal" xfId="0"/>
  </cellStyles>
  <dxfs count="4">
    <dxf>
      <font>
        <b/>
        <color rgb="FF8A4B13"/>
      </font>
      <fill>
        <patternFill patternType="solid">
          <bgColor rgb="FFFFF1DB"/>
        </patternFill>
      </fill>
    </dxf>
    <dxf>
      <font>
        <b/>
        <color rgb="FFA32F43"/>
      </font>
      <fill>
        <patternFill patternType="solid">
          <bgColor rgb="FFFBE9EB"/>
        </patternFill>
      </fill>
    </dxf>
    <dxf>
      <font>
        <color rgb="FF246046"/>
      </font>
      <fill>
        <patternFill patternType="solid">
          <bgColor rgb="FFEAF4EF"/>
        </patternFill>
      </fill>
    </dxf>
    <dxf>
      <font>
        <color rgb="FF244C78"/>
      </font>
      <fill>
        <patternFill patternType="solid">
          <bgColor rgb="FFEAF0F8"/>
        </patternFill>
      </fill>
    </dxf>
  </dxfs>
</styleSheet>
</file>

<file path=xl/_rels/workbook.xml.rels>&#65279;<?xml version="1.0" encoding="utf-8"?><Relationships xmlns="http://schemas.openxmlformats.org/package/2006/relationships"><Relationship Type="http://schemas.openxmlformats.org/officeDocument/2006/relationships/styles" Target="/xl/styles.xml" Id="Rcb84397299444203" /><Relationship Type="http://schemas.openxmlformats.org/officeDocument/2006/relationships/theme" Target="/xl/theme/theme1.xml" Id="R0f4d40ed91304c72" /><Relationship Type="http://schemas.openxmlformats.org/officeDocument/2006/relationships/sharedStrings" Target="/xl/sharedStrings.xml" Id="R9fea470421094780" /><Relationship Type="http://schemas.openxmlformats.org/officeDocument/2006/relationships/worksheet" Target="/xl/worksheets/sheet1.xml" Id="R76f765ff7ccc493c" /><Relationship Type="http://schemas.openxmlformats.org/officeDocument/2006/relationships/worksheet" Target="/xl/worksheets/sheet2.xml" Id="Re3cce5a8ea734b4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tabColor rgb="FF45234E"/>
    <pageSetUpPr fitToPage="1"/>
  </sheetPr>
  <sheetViews>
    <sheetView showGridLines="0" workbookViewId="0" rightToLeft="1" zoomScale="85">
      <pane ySplit="6" topLeftCell="A7" activePane="bottomLeft" state="frozen"/>
    </sheetView>
  </sheetViews>
  <sheetFormatPr defaultRowHeight="15"/>
  <cols>
    <col min="1" max="1" width="26.25" hidden="0" customWidth="1"/>
    <col min="2" max="2" width="25.6299991607666" hidden="0" customWidth="1"/>
    <col min="3" max="3" width="81.25" hidden="0" customWidth="1"/>
    <col min="4" max="4" width="18.1299991607666" hidden="0" customWidth="1"/>
  </cols>
  <sheetData>
    <row r="1">
      <c r="A1" s="4"/>
      <c r="B1" s="4"/>
      <c r="C1" s="4"/>
      <c r="D1" s="4"/>
    </row>
    <row r="2" ht="34" customHeight="1">
      <c r="A2" s="6" t="str">
        <v>التقرير التقني والتنفيذي للمنصة اللوجستية</v>
      </c>
      <c r="B2" s="6"/>
      <c r="C2" s="6"/>
      <c r="D2" s="6"/>
    </row>
    <row r="3" ht="28" customHeight="1">
      <c r="A3" s="7" t="str">
        <v>الشبكة اللوجستية المستقلة لخدمة تريند سي والتطبيقات المرتبطة. حتى 15 أكتوبر 2026.</v>
      </c>
      <c r="B3" s="7"/>
      <c r="C3" s="7"/>
      <c r="D3" s="7"/>
    </row>
    <row r="4" ht="30" customHeight="1">
      <c r="A4" s="13" t="str">
        <v>الحالة الحالية: نسخة تجريبية محلية متقدمة. الربط الفعلي والتشغيل الإنتاجي لم يكتملَا.</v>
      </c>
      <c r="B4" s="13"/>
      <c r="C4" s="13"/>
      <c r="D4" s="13"/>
    </row>
    <row r="5">
      <c r="A5" s="4"/>
      <c r="B5" s="4"/>
      <c r="C5" s="4"/>
      <c r="D5" s="4"/>
    </row>
    <row r="6" ht="30" customHeight="1">
      <c r="A6" s="34" t="str">
        <v>المحور</v>
      </c>
      <c r="B6" s="34" t="str">
        <v>المؤشر أو النتيجة</v>
      </c>
      <c r="C6" s="34" t="str">
        <v>نطاق العمل والقدرات الحالية</v>
      </c>
      <c r="D6" s="34" t="str">
        <v>حالة التنفيذ</v>
      </c>
    </row>
    <row r="7" ht="46" customHeight="1">
      <c r="A7" s="20" t="str">
        <v>البنية البرمجية</v>
      </c>
      <c r="B7" s="21" t="n">
        <f>'المؤشرات والتوثيق'!B9</f>
        <v>78</v>
      </c>
      <c r="C7" s="22" t="str">
        <v>ثلاث طبقات: خادم الخدمات، عقود بيانات مشتركة، وواجهات ويب. فصل أدوار التشغيل عن واجهة العميل.</v>
      </c>
      <c r="D7" s="23" t="str">
        <v>موثّق</v>
      </c>
    </row>
    <row r="8" ht="46" customHeight="1">
      <c r="A8" s="28" t="str">
        <v>حجم المصدر التطبيقي</v>
      </c>
      <c r="B8" s="29" t="n">
        <f>'المؤشرات والتوثيق'!B10</f>
        <v>28891</v>
      </c>
      <c r="C8" s="30" t="str">
        <v>سطر مصدر غير فارغ، تشمل التعليقات. القياس يقتصر على الخادم والعقود المشتركة وواجهة الويب.</v>
      </c>
      <c r="D8" s="31" t="str">
        <v>موثّق</v>
      </c>
    </row>
    <row r="9" ht="46" customHeight="1">
      <c r="A9" s="20" t="str">
        <v>واجهات الربط والخدمات</v>
      </c>
      <c r="B9" s="21" t="n">
        <f>'المؤشرات والتوثيق'!B13</f>
        <v>76</v>
      </c>
      <c r="C9" s="22" t="str">
        <v>اقتران بين طريقة HTTP ومسار، تشمل الخدمات الداخلية والتجريبية. عقود للطلبات والمخزون والتحصيل والمرتجعات والشركاء.</v>
      </c>
      <c r="D9" s="23" t="str">
        <v>موثّق</v>
      </c>
    </row>
    <row r="10" ht="46" customHeight="1">
      <c r="A10" s="28" t="str">
        <v>قاعدة البيانات</v>
      </c>
      <c r="B10" s="29" t="n">
        <f>'المؤشرات والتوثيق'!B11</f>
        <v>44</v>
      </c>
      <c r="C10" s="30" t="str">
        <v>جدولًا للطلبات والعهدة والمخزون والحركات المالية والإشعارات والتقييمات وشركاء التنفيذ.</v>
      </c>
      <c r="D10" s="31" t="str">
        <v>موثّق</v>
      </c>
    </row>
    <row r="11" ht="46" customHeight="1">
      <c r="A11" s="20" t="str">
        <v>تطور مخطط البيانات</v>
      </c>
      <c r="B11" s="21" t="n">
        <f>'المؤشرات والتوثيق'!B12</f>
        <v>26</v>
      </c>
      <c r="C11" s="22" t="str">
        <v>ترحيلًا مسجلًا لمخطط البيانات، وصولًا إلى الإصدار 26، مع اختبارات لترقية البيانات واستمرارها.</v>
      </c>
      <c r="D11" s="23" t="str">
        <v>موثّق</v>
      </c>
    </row>
    <row r="12" ht="46" customHeight="1">
      <c r="A12" s="28" t="str">
        <v>ملفات الاختبار الآلي</v>
      </c>
      <c r="B12" s="29" t="n">
        <f>'المؤشرات والتوثيق'!B14</f>
        <v>37</v>
      </c>
      <c r="C12" s="30" t="str">
        <v>ملف اختبار يغطي العقود وعزل الحسابات والمخزون والتحصيل والتسوية ومنع التكرار واستعادة الحالة.</v>
      </c>
      <c r="D12" s="31" t="str">
        <v>موثّق</v>
      </c>
    </row>
    <row r="13" ht="46" customHeight="1">
      <c r="A13" s="20" t="str">
        <v>نتائج اختبار التراجع</v>
      </c>
      <c r="B13" s="21" t="n">
        <f>'المؤشرات والتوثيق'!B15</f>
        <v>141</v>
      </c>
      <c r="C13" s="22" t="str">
        <v>اختبارًا ناجحًا في آخر تشغيل كامل موثق، وصفر حالات فشل. النتيجة لا تعني اكتمال جميع متطلبات المنتج.</v>
      </c>
      <c r="D13" s="23" t="str">
        <v>موثّق</v>
      </c>
    </row>
    <row r="14" ht="46" customHeight="1">
      <c r="A14" s="28" t="str">
        <v>اختبارات API الإضافية</v>
      </c>
      <c r="B14" s="29" t="n">
        <f>'المؤشرات والتوثيق'!B18</f>
        <v>24</v>
      </c>
      <c r="C14" s="30" t="str">
        <v>حالة ناجحة في مجموعة API المعاد اختبارها لاحقًا. تتداخل مع الاختبارات السابقة ولا تُجمع معها.</v>
      </c>
      <c r="D14" s="31" t="str">
        <v>موثّق</v>
      </c>
    </row>
    <row r="15" ht="46" customHeight="1">
      <c r="A15" s="20" t="str">
        <v>اختبار أحجام الشاشات</v>
      </c>
      <c r="B15" s="21" t="n">
        <f>'المؤشرات والتوثيق'!B17</f>
        <v>5</v>
      </c>
      <c r="C15" s="22" t="str">
        <v>مقاسات: 1440 و1024 و768 و390 و360 بكسل. فحص للواجهات والأدوار دون تجاوز عرض الصفحة.</v>
      </c>
      <c r="D15" s="23" t="str">
        <v>موثّق</v>
      </c>
    </row>
    <row r="16" ht="46" customHeight="1">
      <c r="A16" s="28" t="str">
        <v>فئات المستخدمين</v>
      </c>
      <c r="B16" s="29" t="n">
        <f>'المؤشرات والتوثيق'!B19</f>
        <v>5</v>
      </c>
      <c r="C16" s="30" t="str">
        <v>مدير العمليات، المتجر، المندوب، موظف نقطة الاستلام، والعميل، مع مسارات عمل وصلاحيات مختلفة.</v>
      </c>
      <c r="D16" s="31" t="str">
        <v>منفّذ محليًا</v>
      </c>
    </row>
    <row r="17" ht="46" customHeight="1">
      <c r="A17" s="20" t="str">
        <v>دورة الطلب والتوصيل</v>
      </c>
      <c r="B17" s="21" t="str">
        <v>رحلة مترابطة</v>
      </c>
      <c r="C17" s="22" t="str">
        <v>طلب العميل، تجهيز المنشأ، إسناد وقبول المندوب، نقل العهدة، والتسليم برمز العميل أو عبر النقطة.</v>
      </c>
      <c r="D17" s="23" t="str">
        <v>منفّذ محليًا</v>
      </c>
    </row>
    <row r="18" ht="46" customHeight="1">
      <c r="A18" s="28" t="str">
        <v>طرق استلام العميل</v>
      </c>
      <c r="B18" s="29" t="n">
        <f>'المؤشرات والتوثيق'!B20</f>
        <v>2</v>
      </c>
      <c r="C18" s="30" t="str">
        <v>توصيل إلى العنوان أو نقطة استلام. اقتراح حتى خمس نقاط محددة الموقع، مرتبة بالمسافة التقريبية مع التقييمات.</v>
      </c>
      <c r="D18" s="31" t="str">
        <v>منفّذ محليًا</v>
      </c>
    </row>
    <row r="19" ht="46" customHeight="1">
      <c r="A19" s="20" t="str">
        <v>العناوين والخرائط</v>
      </c>
      <c r="B19" s="21" t="str">
        <v>خريطة وموقع حالي</v>
      </c>
      <c r="C19" s="22" t="str">
        <v>حفظ البيت والعمل ومواقع مخصصة، وتحديد GPS بعد موافقة العميل. مشاركة موقع المندوب أثناء التوصيل عند تفعيلها.</v>
      </c>
      <c r="D19" s="23" t="str">
        <v>منفّذ محليًا</v>
      </c>
    </row>
    <row r="20" ht="46" customHeight="1">
      <c r="A20" s="28" t="str">
        <v>المخزون وحركة البضائع</v>
      </c>
      <c r="B20" s="29" t="str">
        <v>حجز وعهدة ومطابقة</v>
      </c>
      <c r="C20" s="30" t="str">
        <v>حجز وتجهيز، نقل محلي بين مواقع المتجر، جرد ومطابقة، واستلام وفحص الصالح والتالف من المرتجعات.</v>
      </c>
      <c r="D20" s="31" t="str">
        <v>منفّذ محليًا</v>
      </c>
    </row>
    <row r="21" ht="46" customHeight="1">
      <c r="A21" s="20" t="str">
        <v>الإرجاع ورد قيمة البضائع</v>
      </c>
      <c r="B21" s="21" t="str">
        <v>مسار مستقل</v>
      </c>
      <c r="C21" s="22" t="str">
        <v>سبب العميل مرة واحدة، مراجعة المتجر، نقل المرتجع، الفحص ورد المتجر، ثم مراحل رد المال بإقرارات مستقلة.</v>
      </c>
      <c r="D21" s="23" t="str">
        <v>منفّذ محليًا</v>
      </c>
    </row>
    <row r="22" ht="46" customHeight="1">
      <c r="A22" s="28" t="str">
        <v>التحصيل ومستحقات المتاجر</v>
      </c>
      <c r="B22" s="29" t="str">
        <v>سجل مالي محمي</v>
      </c>
      <c r="C22" s="30" t="str">
        <v>عهدة نقدية، استلام العمليات، مستحقات المتجر، فروق وتسويات ومطابقة، مع حماية التكرار والقيود السابقة.</v>
      </c>
      <c r="D22" s="31" t="str">
        <v>منفّذ محليًا</v>
      </c>
    </row>
    <row r="23" ht="46" customHeight="1">
      <c r="A23" s="20" t="str">
        <v>شبكة شركاء التنفيذ</v>
      </c>
      <c r="B23" s="21" t="str">
        <v>مستقل أو تابع لمكتب</v>
      </c>
      <c r="C23" s="22" t="str">
        <v>إضافة وتعديل المناديب والمكاتب والنقاط. فصل المتجر عن نقطة الاستلام، وإزالة محمية بالأرشفة مع حفظ التاريخ.</v>
      </c>
      <c r="D23" s="23" t="str">
        <v>منفّذ محليًا</v>
      </c>
    </row>
    <row r="24" ht="46" customHeight="1">
      <c r="A24" s="28" t="str">
        <v>أجور المندوب والمكتب</v>
      </c>
      <c r="B24" s="29" t="str">
        <v>نسبة قابلة للضبط</v>
      </c>
      <c r="C24" s="30" t="str">
        <v>تثبيت نسبة رسوم التوصيل عند الإسناد وتسجيل المستحق بعد التنفيذ، دون قيمة البضائع. الصرف وبوابة المكتب لم يكتملَا.</v>
      </c>
      <c r="D24" s="31" t="str">
        <v>منفّذ جزئيًا</v>
      </c>
    </row>
    <row r="25" ht="46" customHeight="1">
      <c r="A25" s="20" t="str">
        <v>الإشعارات والمتابعة</v>
      </c>
      <c r="B25" s="21" t="str">
        <v>إشعارات داخل النظام</v>
      </c>
      <c r="C25" s="22" t="str">
        <v>تنبيهات بحسب الدور تفتح السجل المرتبط، مع حالة قراءة محفوظة. تحديث قوائم العمليات كل عشر ثوانٍ أثناء ظهور الصفحة.</v>
      </c>
      <c r="D25" s="23" t="str">
        <v>منفّذ محليًا</v>
      </c>
    </row>
    <row r="26" ht="46" customHeight="1">
      <c r="A26" s="28" t="str">
        <v>البحث ولوحة العمليات</v>
      </c>
      <c r="B26" s="29" t="str">
        <v>بحث خادمي بصفحات</v>
      </c>
      <c r="C26" s="30" t="str">
        <v>البحث في الشحنات القديمة مع 25 نتيجة في الصفحة، وإجماليات كاملة للحساب. مؤشرات تفتح الحالات وقائمة عمل قابلة للتنفيذ.</v>
      </c>
      <c r="D26" s="31" t="str">
        <v>منفّذ محليًا</v>
      </c>
    </row>
    <row r="27" ht="46" customHeight="1">
      <c r="A27" s="20" t="str">
        <v>الحماية وقابلية التتبع</v>
      </c>
      <c r="B27" s="21" t="str">
        <v>ضوابط تشغيلية</v>
      </c>
      <c r="C27" s="22" t="str">
        <v>عزل بحسب الدور، إصدارات للسجلات، أوامر تمنع التكرار، معاملات مترابطة وسجل تدقيق. المصادقة الحالية تجريبية.</v>
      </c>
      <c r="D27" s="23" t="str">
        <v>منفّذ محليًا</v>
      </c>
    </row>
    <row r="28" ht="46" customHeight="1">
      <c r="A28" s="28" t="str">
        <v>التوثيق وتسليم Flutter</v>
      </c>
      <c r="B28" s="29" t="str">
        <v>عقد محدّث في GitHub</v>
      </c>
      <c r="C28" s="30" t="str">
        <v>توثيق العقود والحدود وخطة الإغلاق منشور في الريبو. وجود العقد لا يعني اكتمال تطبيق Flutter أو الربط الفعلي.</v>
      </c>
      <c r="D28" s="31" t="str">
        <v>منفّذ جزئيًا</v>
      </c>
    </row>
    <row r="29" ht="46" customHeight="1">
      <c r="A29" s="20" t="str">
        <v>الإسناد ومحرك التحسين</v>
      </c>
      <c r="B29" s="21" t="str">
        <v>إسناد يدوي حاليًا</v>
      </c>
      <c r="C29" s="22" t="str">
        <v>تتوفر ضوابط السعة والقبول والعهدة. محرك الإسناد المحسّن والمقارنة المرجعية وخوارزميات التحسين المستهدفة لم تُنفذ.</v>
      </c>
      <c r="D29" s="23" t="str">
        <v>غير منفّذ</v>
      </c>
    </row>
    <row r="30" ht="46" customHeight="1">
      <c r="A30" s="28" t="str">
        <v>نطاق الشبكة والربط الفعلي</v>
      </c>
      <c r="B30" s="29" t="str">
        <v>دمشق تجريبيًا</v>
      </c>
      <c r="C30" s="30" t="str">
        <v>المتجر الحالي بديل للاختبار. الربط الفعلي مع تريند سي، والنقل بين المدن والتوسع على مستوى سوريا، ما زالت مراحل لاحقة.</v>
      </c>
      <c r="D30" s="31" t="str">
        <v>منفّذ جزئيًا</v>
      </c>
    </row>
    <row r="31" ht="46" customHeight="1">
      <c r="A31" s="20" t="str">
        <v>الإنتاج والأداء</v>
      </c>
      <c r="B31" s="21" t="str">
        <v>غير معتمد إنتاجيًا</v>
      </c>
      <c r="C31" s="22" t="str">
        <v>تحتاج النسخة مصادقة إنتاجية وقاعدة مناسبة لتعدد العمليات واستضافة ومراقبة واختبارات تحميل. لا توجد مؤشرات أداء معتمدة.</v>
      </c>
      <c r="D31" s="23" t="str">
        <v>غير منفّذ</v>
      </c>
    </row>
    <row r="32">
      <c r="A32" s="4"/>
      <c r="B32" s="4"/>
      <c r="C32" s="4"/>
      <c r="D32" s="4"/>
    </row>
    <row r="33">
      <c r="A33" s="4"/>
      <c r="B33" s="4"/>
      <c r="C33" s="4"/>
      <c r="D33" s="4"/>
    </row>
    <row r="34">
      <c r="A34" s="4"/>
      <c r="B34" s="4"/>
      <c r="C34" s="4"/>
      <c r="D34" s="4"/>
    </row>
  </sheetData>
  <mergeCells>
    <mergeCell ref="A2:D2"/>
    <mergeCell ref="A3:D3"/>
    <mergeCell ref="A4:D4"/>
  </mergeCells>
  <conditionalFormatting sqref="D7:D31">
    <cfRule type="containsText" dxfId="0" priority="1" operator="containsText" text="منفّذ جزئيًا"/>
    <cfRule type="containsText" dxfId="1" priority="2" operator="containsText" text="غير منفّذ"/>
    <cfRule type="containsText" dxfId="2" priority="3" operator="containsText" text="منفّذ محليًا"/>
    <cfRule type="containsText" dxfId="3" priority="4" operator="containsText" text="موثّق"/>
  </conditionalFormatting>
  <pageMargins left="0.25" right="0.25" top="0.35" bottom="0.35" header="0.15" footer="0.15"/>
  <pageSetup paperSize="8" orientation="portrait" fitToWidth="1" fitToHeight="1"/>
</worksheet>
</file>

<file path=xl/worksheets/sheet2.xml><?xml version="1.0" encoding="utf-8"?>
<worksheet xmlns="http://schemas.openxmlformats.org/spreadsheetml/2006/main">
  <sheetPr>
    <tabColor rgb="FF45234E"/>
    <pageSetUpPr fitToPage="1"/>
  </sheetPr>
  <sheetViews>
    <sheetView showGridLines="0" workbookViewId="0" rightToLeft="1" zoomScale="75">
      <pane ySplit="5" topLeftCell="A6" activePane="bottomLeft" state="frozen"/>
    </sheetView>
  </sheetViews>
  <sheetFormatPr defaultRowHeight="15"/>
  <cols>
    <col min="1" max="1" width="30.6299991607666" hidden="0" customWidth="1"/>
    <col min="2" max="2" width="16.25" hidden="0" customWidth="1"/>
    <col min="3" max="3" width="67.5" hidden="0" customWidth="1"/>
    <col min="4" max="4" width="75" hidden="0" customWidth="1"/>
  </cols>
  <sheetData>
    <row r="1">
      <c r="A1" s="4"/>
      <c r="B1" s="4"/>
      <c r="C1" s="4"/>
      <c r="D1" s="4"/>
    </row>
    <row r="2" ht="34" customHeight="1">
      <c r="A2" s="6" t="str">
        <v>المؤشرات والتوثيق</v>
      </c>
      <c r="B2" s="6"/>
      <c r="C2" s="6"/>
      <c r="D2" s="6"/>
    </row>
    <row r="3" ht="28" customHeight="1">
      <c r="A3" s="7" t="str">
        <v>مرجع القياس: المصدر الحالي ونتائج الاختبارات الموثقة. تاريخ التقرير: 15 أكتوبر 2026.</v>
      </c>
      <c r="B3" s="7"/>
      <c r="C3" s="7"/>
      <c r="D3" s="7"/>
    </row>
    <row r="4">
      <c r="A4" s="4"/>
      <c r="B4" s="4"/>
      <c r="C4" s="4"/>
      <c r="D4" s="4"/>
    </row>
    <row r="5" ht="30" customHeight="1">
      <c r="A5" s="34" t="str">
        <v>المقياس</v>
      </c>
      <c r="B5" s="34" t="str">
        <v>القيمة</v>
      </c>
      <c r="C5" s="34" t="str">
        <v>تعريف القياس</v>
      </c>
      <c r="D5" s="34" t="str">
        <v>المصدر</v>
      </c>
    </row>
    <row r="6" ht="58" customHeight="1">
      <c r="A6" s="4" t="str">
        <v>ملفات الخادم</v>
      </c>
      <c r="B6" s="9" t="n">
        <v>26</v>
      </c>
      <c r="C6" s="4" t="str">
        <v>ملفات TypeScript/CSS ضمن طبقة الخادم.</v>
      </c>
      <c r="D6" s="4" t="str">
        <v>https://github.com/Mayar471/Warehouse_Logistics/tree/11d841e7ae398887464d61e69a464170aeeec8a2/server</v>
      </c>
    </row>
    <row r="7" ht="58" customHeight="1">
      <c r="A7" s="4" t="str">
        <v>ملفات العقود المشتركة</v>
      </c>
      <c r="B7" s="9" t="n">
        <v>13</v>
      </c>
      <c r="C7" s="4" t="str">
        <v>أنواع البيانات والعقود المشتركة.</v>
      </c>
      <c r="D7" s="4" t="str">
        <v>https://github.com/Mayar471/Warehouse_Logistics/tree/11d841e7ae398887464d61e69a464170aeeec8a2/shared</v>
      </c>
    </row>
    <row r="8" ht="58" customHeight="1">
      <c r="A8" s="4" t="str">
        <v>ملفات واجهة الويب</v>
      </c>
      <c r="B8" s="9" t="n">
        <v>39</v>
      </c>
      <c r="C8" s="4" t="str">
        <v>ملفات TypeScript وTSX وCSS لواجهة الويب.</v>
      </c>
      <c r="D8" s="4" t="str">
        <v>https://github.com/Mayar471/Warehouse_Logistics/tree/11d841e7ae398887464d61e69a464170aeeec8a2/web</v>
      </c>
    </row>
    <row r="9" ht="58" customHeight="1">
      <c r="A9" s="4" t="str">
        <v>إجمالي ملفات المصدر التطبيقي</v>
      </c>
      <c r="B9" s="9" t="n">
        <f>SUM(B6:B8)</f>
        <v>78</v>
      </c>
      <c r="C9" s="4" t="str">
        <v>مجموع ملفات الخادم والعقود وواجهة الويب. لا يشمل الاختبارات أو الأدوات أو المكتبات.</v>
      </c>
      <c r="D9" s="4" t="str">
        <v>https://github.com/Mayar471/Warehouse_Logistics/tree/11d841e7ae398887464d61e69a464170aeeec8a2</v>
      </c>
    </row>
    <row r="10" ht="58" customHeight="1">
      <c r="A10" s="4" t="str">
        <v>أسطر المصدر غير الفارغة</v>
      </c>
      <c r="B10" s="9" t="n">
        <v>28891</v>
      </c>
      <c r="C10" s="4" t="str">
        <v>أسطر الملفات السابقة بعد استبعاد الأسطر الفارغة. تشمل التعليقات، وليست مقياسًا مستقلاً للجودة.</v>
      </c>
      <c r="D10" s="4" t="str">
        <v>https://github.com/Mayar471/Warehouse_Logistics/tree/11d841e7ae398887464d61e69a464170aeeec8a2</v>
      </c>
    </row>
    <row r="11" ht="58" customHeight="1">
      <c r="A11" s="4" t="str">
        <v>جداول قاعدة البيانات</v>
      </c>
      <c r="B11" s="9" t="n">
        <v>44</v>
      </c>
      <c r="C11" s="4" t="str">
        <v>جداول المخطط public بعد تهيئة نسخة اختبار معزولة، دون قراءة بيانات المستخدم.</v>
      </c>
      <c r="D11" s="4" t="str">
        <v>https://github.com/Mayar471/Warehouse_Logistics/tree/11d841e7ae398887464d61e69a464170aeeec8a2/server/db.ts</v>
      </c>
    </row>
    <row r="12" ht="58" customHeight="1">
      <c r="A12" s="4" t="str">
        <v>ترحيلات مخطط البيانات</v>
      </c>
      <c r="B12" s="9" t="n">
        <v>26</v>
      </c>
      <c r="C12" s="4" t="str">
        <v>عدد الإصدارات المسجلة. أحدث إصدار: 26.</v>
      </c>
      <c r="D12" s="4" t="str">
        <v>https://github.com/Mayar471/Warehouse_Logistics/tree/11d841e7ae398887464d61e69a464170aeeec8a2/server/db.ts</v>
      </c>
    </row>
    <row r="13" ht="58" customHeight="1">
      <c r="A13" s="4" t="str">
        <v>واجهات HTTP الوظيفية</v>
      </c>
      <c r="B13" s="9" t="n">
        <v>76</v>
      </c>
      <c r="C13" s="4" t="str">
        <v>كل اقتران فريد بين طريقة HTTP ومسار. تُستبعد HEAD التلقائية. تشمل المسارات الداخلية والتجريبية.</v>
      </c>
      <c r="D13" s="4" t="str">
        <v>https://github.com/Mayar471/Warehouse_Logistics/tree/11d841e7ae398887464d61e69a464170aeeec8a2/server/app.ts</v>
      </c>
    </row>
    <row r="14" ht="58" customHeight="1">
      <c r="A14" s="4" t="str">
        <v>ملفات الاختبار</v>
      </c>
      <c r="B14" s="9" t="n">
        <v>37</v>
      </c>
      <c r="C14" s="4" t="str">
        <v>الملفات التي تنتهي بـ .test.ts. لا يشمل أدوات المتصفح أو ملفات المساعدة.</v>
      </c>
      <c r="D14" s="4" t="str">
        <v>https://github.com/Mayar471/Warehouse_Logistics/tree/11d841e7ae398887464d61e69a464170aeeec8a2/tests</v>
      </c>
    </row>
    <row r="15" ht="58" customHeight="1">
      <c r="A15" s="4" t="str">
        <v>اختبارات ناجحة في آخر تشغيل كامل</v>
      </c>
      <c r="B15" s="9" t="n">
        <v>141</v>
      </c>
      <c r="C15" s="4" t="str">
        <v>نجاح 141 حالة، وفشل صفر. النتيجة من آخر تشغيل كامل موثق بتاريخ 14 أكتوبر، وليس إعادة تشغيل في تاريخ التقرير.</v>
      </c>
      <c r="D15" s="4" t="str">
        <v>https://github.com/Mayar471/Warehouse_Logistics/tree/11d841e7ae398887464d61e69a464170aeeec8a2/docs/COMPLETION-TRACKER.md</v>
      </c>
    </row>
    <row r="16" ht="58" customHeight="1">
      <c r="A16" s="4" t="str">
        <v>اختبارات فاشلة في التشغيل الكامل</v>
      </c>
      <c r="B16" s="9" t="n">
        <v>0</v>
      </c>
      <c r="C16" s="4" t="str">
        <v>تخص التشغيل الكامل نفسه، ولا تعني خلو المنتج من نواقص أو أخطاء غير مكتشفة.</v>
      </c>
      <c r="D16" s="4" t="str">
        <v>https://github.com/Mayar471/Warehouse_Logistics/tree/11d841e7ae398887464d61e69a464170aeeec8a2/docs/COMPLETION-TRACKER.md</v>
      </c>
    </row>
    <row r="17" ht="58" customHeight="1">
      <c r="A17" s="4" t="str">
        <v>أحجام الشاشة المفحوصة</v>
      </c>
      <c r="B17" s="9" t="n">
        <v>5</v>
      </c>
      <c r="C17" s="4" t="str">
        <v>1440 و1024 و768 و390 و360 بكسل في فحص متصفح Chrome. ليست اختبارات تطبيقات أصلية.</v>
      </c>
      <c r="D17" s="4" t="str">
        <v>https://github.com/Mayar471/Warehouse_Logistics/tree/11d841e7ae398887464d61e69a464170aeeec8a2/scripts/operations-ui-check.ts</v>
      </c>
    </row>
    <row r="18" ht="58" customHeight="1">
      <c r="A18" s="4" t="str">
        <v>حالات مجموعة API المعاد اختبارها</v>
      </c>
      <c r="B18" s="9" t="n">
        <v>24</v>
      </c>
      <c r="C18" s="4" t="str">
        <v>تشغيل API لاحق يشمل حالة إضافية للمصدر المحلي. يتداخل مع الاختبار الكامل ولا يُجمع معه.</v>
      </c>
      <c r="D18" s="4" t="str">
        <v>https://github.com/Mayar471/Warehouse_Logistics/tree/11d841e7ae398887464d61e69a464170aeeec8a2/tests/api.test.ts</v>
      </c>
    </row>
    <row r="19" ht="58" customHeight="1">
      <c r="A19" s="4" t="str">
        <v>فئات المستخدمين في التجربة</v>
      </c>
      <c r="B19" s="9" t="n">
        <v>5</v>
      </c>
      <c r="C19" s="4" t="str">
        <v>العمليات والمتجر والمندوب وموظف النقطة والعميل. مكتب التوصيل كيان شريك دون بوابة مستقلة حتى الآن.</v>
      </c>
      <c r="D19" s="4" t="str">
        <v>https://github.com/Mayar471/Warehouse_Logistics/tree/11d841e7ae398887464d61e69a464170aeeec8a2/docs/COMPLETION-TRACKER.md</v>
      </c>
    </row>
    <row r="20" ht="58" customHeight="1">
      <c r="A20" s="4" t="str">
        <v>طرق استلام العميل</v>
      </c>
      <c r="B20" s="9" t="n">
        <v>2</v>
      </c>
      <c r="C20" s="4" t="str">
        <v>توصيل إلى العنوان، أو استلام من نقطة. اقتراح الأقرب يعرض حتى خمس نقاط محددة الموقع.</v>
      </c>
      <c r="D20" s="4" t="str">
        <v>https://github.com/Mayar471/Warehouse_Logistics/tree/11d841e7ae398887464d61e69a464170aeeec8a2/docs/CUSTOMER-LOCATIONS-AND-RATINGS.md</v>
      </c>
    </row>
    <row r="21">
      <c r="A21" s="4"/>
      <c r="B21" s="4"/>
      <c r="C21" s="4"/>
      <c r="D21" s="4"/>
    </row>
    <row r="22">
      <c r="A22" s="4"/>
      <c r="B22" s="4"/>
      <c r="C22" s="4"/>
      <c r="D22" s="4"/>
    </row>
    <row r="23" ht="30" customHeight="1">
      <c r="A23" s="34" t="str">
        <v>حدود التقرير</v>
      </c>
      <c r="B23" s="34" t="str"/>
      <c r="C23" s="34" t="str"/>
      <c r="D23" s="34" t="str"/>
    </row>
    <row r="24" ht="30" customHeight="1">
      <c r="A24" s="4" t="str">
        <v>المؤشرات تصف حجم المصدر ونتائج اختبار محلية. لم يُستخدم عدد طلبات التجربة أو بيانات الشركاء كإنجازات تشغيل حقيقي. لا تتوفر أرقام معتمدة لزمن الاستجابة أو حمل المستخدمين أو إتاحة خدمة إنتاجية. لم تُستنتج نسبة إنجاز إجمالية للمشروع.</v>
      </c>
      <c r="B24" s="4"/>
      <c r="C24" s="4"/>
      <c r="D24" s="4"/>
    </row>
    <row r="25" ht="30" customHeight="1">
      <c r="A25" s="4"/>
      <c r="B25" s="4"/>
      <c r="C25" s="4"/>
      <c r="D25" s="4"/>
    </row>
    <row r="26">
      <c r="A26" s="4"/>
      <c r="B26" s="4"/>
      <c r="C26" s="4"/>
      <c r="D26" s="4"/>
    </row>
    <row r="27" ht="36" customHeight="1">
      <c r="A27" s="4" t="str">
        <v>الحالة التفصيلية وخطة الإغلاق: https://github.com/Mayar471/Warehouse_Logistics/tree/11d841e7ae398887464d61e69a464170aeeec8a2/docs/COMPLETION-TRACKER.md</v>
      </c>
      <c r="B27" s="4"/>
      <c r="C27" s="4"/>
      <c r="D27" s="4"/>
    </row>
    <row r="28">
      <c r="A28" s="4"/>
      <c r="B28" s="4"/>
      <c r="C28" s="4"/>
      <c r="D28" s="4"/>
    </row>
    <row r="29">
      <c r="A29" s="4"/>
      <c r="B29" s="4"/>
      <c r="C29" s="4"/>
      <c r="D29" s="4"/>
    </row>
    <row r="30" ht="30" customHeight="1">
      <c r="A30" s="34" t="str">
        <v>طريقة HTTP</v>
      </c>
      <c r="B30" s="34" t="str">
        <v>المسار المسجل</v>
      </c>
      <c r="C30" s="4"/>
      <c r="D30" s="34" t="str">
        <v>جداول قاعدة البيانات</v>
      </c>
    </row>
    <row r="31" ht="23" customHeight="1">
      <c r="A31" s="10" t="str">
        <v>GET</v>
      </c>
      <c r="B31" s="11" t="str">
        <v>/api/health</v>
      </c>
      <c r="C31" s="4"/>
      <c r="D31" s="12" t="str">
        <v>cash_events</v>
      </c>
    </row>
    <row r="32" ht="23" customHeight="1">
      <c r="A32" s="10" t="str">
        <v>POST</v>
      </c>
      <c r="B32" s="11" t="str">
        <v>/api/storefront/orders</v>
      </c>
      <c r="C32" s="4"/>
      <c r="D32" s="12" t="str">
        <v>cash_journals</v>
      </c>
    </row>
    <row r="33" ht="23" customHeight="1">
      <c r="A33" s="10" t="str">
        <v>GET</v>
      </c>
      <c r="B33" s="11" t="str">
        <v>/api/storefront/orders</v>
      </c>
      <c r="C33" s="4"/>
      <c r="D33" s="12" t="str">
        <v>cash_obligations</v>
      </c>
    </row>
    <row r="34" ht="23" customHeight="1">
      <c r="A34" s="10" t="str">
        <v>POST</v>
      </c>
      <c r="B34" s="11" t="str">
        <v>/api/storefront/orders/:id/refund</v>
      </c>
      <c r="C34" s="4"/>
      <c r="D34" s="12" t="str">
        <v>cash_payout_events</v>
      </c>
    </row>
    <row r="35" ht="23" customHeight="1">
      <c r="A35" s="10" t="str">
        <v>POST</v>
      </c>
      <c r="B35" s="11" t="str">
        <v>/api/storefront/orders/:id/returns</v>
      </c>
      <c r="C35" s="4"/>
      <c r="D35" s="12" t="str">
        <v>cash_payouts</v>
      </c>
    </row>
    <row r="36" ht="23" customHeight="1">
      <c r="A36" s="10" t="str">
        <v>POST</v>
      </c>
      <c r="B36" s="11" t="str">
        <v>/api/storefront/orders/:id/ratings</v>
      </c>
      <c r="C36" s="4"/>
      <c r="D36" s="12" t="str">
        <v>cash_postings</v>
      </c>
    </row>
    <row r="37" ht="23" customHeight="1">
      <c r="A37" s="10" t="str">
        <v>GET</v>
      </c>
      <c r="B37" s="11" t="str">
        <v>/api/storefront/orders/:id/location</v>
      </c>
      <c r="C37" s="4"/>
      <c r="D37" s="12" t="str">
        <v>cash_remittance_returns</v>
      </c>
    </row>
    <row r="38" ht="23" customHeight="1">
      <c r="A38" s="10" t="str">
        <v>POST</v>
      </c>
      <c r="B38" s="11" t="str">
        <v>/api/storefront/orders/:id/delivery-code</v>
      </c>
      <c r="C38" s="4"/>
      <c r="D38" s="12" t="str">
        <v>commerce_projection</v>
      </c>
    </row>
    <row r="39" ht="23" customHeight="1">
      <c r="A39" s="10" t="str">
        <v>GET</v>
      </c>
      <c r="B39" s="11" t="str">
        <v>/api/storefront/notifications</v>
      </c>
      <c r="C39" s="4"/>
      <c r="D39" s="12" t="str">
        <v>commercial_return_events</v>
      </c>
    </row>
    <row r="40" ht="23" customHeight="1">
      <c r="A40" s="10" t="str">
        <v>POST</v>
      </c>
      <c r="B40" s="11" t="str">
        <v>/api/storefront/notifications/read</v>
      </c>
      <c r="C40" s="4"/>
      <c r="D40" s="12" t="str">
        <v>commercial_returns</v>
      </c>
    </row>
    <row r="41" ht="23" customHeight="1">
      <c r="A41" s="10" t="str">
        <v>GET</v>
      </c>
      <c r="B41" s="11" t="str">
        <v>/api/storefront/addresses</v>
      </c>
      <c r="C41" s="4"/>
      <c r="D41" s="12" t="str">
        <v>couriers</v>
      </c>
    </row>
    <row r="42" ht="23" customHeight="1">
      <c r="A42" s="10" t="str">
        <v>POST</v>
      </c>
      <c r="B42" s="11" t="str">
        <v>/api/storefront/addresses</v>
      </c>
      <c r="C42" s="4"/>
      <c r="D42" s="12" t="str">
        <v>customer_addresses</v>
      </c>
    </row>
    <row r="43" ht="23" customHeight="1">
      <c r="A43" s="10" t="str">
        <v>DELETE</v>
      </c>
      <c r="B43" s="11" t="str">
        <v>/api/storefront/addresses/:id</v>
      </c>
      <c r="C43" s="4"/>
      <c r="D43" s="12" t="str">
        <v>customer_refund_events</v>
      </c>
    </row>
    <row r="44" ht="23" customHeight="1">
      <c r="A44" s="10" t="str">
        <v>GET</v>
      </c>
      <c r="B44" s="11" t="str">
        <v>/api/storefront/availability</v>
      </c>
      <c r="C44" s="4"/>
      <c r="D44" s="12" t="str">
        <v>customer_refunds</v>
      </c>
    </row>
    <row r="45" ht="23" customHeight="1">
      <c r="A45" s="10" t="str">
        <v>POST</v>
      </c>
      <c r="B45" s="11" t="str">
        <v>/api/storefront/pickup-sites/nearest</v>
      </c>
      <c r="C45" s="4"/>
      <c r="D45" s="12" t="str">
        <v>delivery_companies</v>
      </c>
    </row>
    <row r="46" ht="23" customHeight="1">
      <c r="A46" s="10" t="str">
        <v>POST</v>
      </c>
      <c r="B46" s="11" t="str">
        <v>/api/storefront/session</v>
      </c>
      <c r="C46" s="4"/>
      <c r="D46" s="12" t="str">
        <v>delivery_proofs</v>
      </c>
    </row>
    <row r="47" ht="23" customHeight="1">
      <c r="A47" s="10" t="str">
        <v>POST</v>
      </c>
      <c r="B47" s="11" t="str">
        <v>/api/storefront/checkouts</v>
      </c>
      <c r="C47" s="4"/>
      <c r="D47" s="12" t="str">
        <v>delivery_service_subjects</v>
      </c>
    </row>
    <row r="48" ht="23" customHeight="1">
      <c r="A48" s="10" t="str">
        <v>GET</v>
      </c>
      <c r="B48" s="11" t="str">
        <v>/api/shipments</v>
      </c>
      <c r="C48" s="4"/>
      <c r="D48" s="12" t="str">
        <v>demo_settings</v>
      </c>
    </row>
    <row r="49" ht="23" customHeight="1">
      <c r="A49" s="10" t="str">
        <v>GET</v>
      </c>
      <c r="B49" s="11" t="str">
        <v>/api/shipments/pickup-alerts</v>
      </c>
      <c r="C49" s="4"/>
      <c r="D49" s="12" t="str">
        <v>execution_earnings</v>
      </c>
    </row>
    <row r="50" ht="23" customHeight="1">
      <c r="A50" s="10" t="str">
        <v>GET</v>
      </c>
      <c r="B50" s="11" t="str">
        <v>/api/shipments/:id</v>
      </c>
      <c r="C50" s="4"/>
      <c r="D50" s="12" t="str">
        <v>execution_terms</v>
      </c>
    </row>
    <row r="51" ht="23" customHeight="1">
      <c r="A51" s="10" t="str">
        <v>GET</v>
      </c>
      <c r="B51" s="11" t="str">
        <v>/api/shipments/:id/location</v>
      </c>
      <c r="C51" s="4"/>
      <c r="D51" s="12" t="str">
        <v>idempotency</v>
      </c>
    </row>
    <row r="52" ht="23" customHeight="1">
      <c r="A52" s="10" t="str">
        <v>POST</v>
      </c>
      <c r="B52" s="11" t="str">
        <v>/api/shipments/:id/location/sharing</v>
      </c>
      <c r="C52" s="4"/>
      <c r="D52" s="12" t="str">
        <v>integration_audit</v>
      </c>
    </row>
    <row r="53" ht="23" customHeight="1">
      <c r="A53" s="10" t="str">
        <v>POST</v>
      </c>
      <c r="B53" s="11" t="str">
        <v>/api/shipments/:id/location/points</v>
      </c>
      <c r="C53" s="4"/>
      <c r="D53" s="12" t="str">
        <v>inventory_counts</v>
      </c>
    </row>
    <row r="54" ht="23" customHeight="1">
      <c r="A54" s="10" t="str">
        <v>POST</v>
      </c>
      <c r="B54" s="11" t="str">
        <v>/api/shipments/:id/actions</v>
      </c>
      <c r="C54" s="4"/>
      <c r="D54" s="12" t="str">
        <v>inventory_movements</v>
      </c>
    </row>
    <row r="55" ht="23" customHeight="1">
      <c r="A55" s="10" t="str">
        <v>DELETE</v>
      </c>
      <c r="B55" s="11" t="str">
        <v>/api/session</v>
      </c>
      <c r="C55" s="4"/>
      <c r="D55" s="12" t="str">
        <v>inventory_reservations</v>
      </c>
    </row>
    <row r="56" ht="23" customHeight="1">
      <c r="A56" s="10" t="str">
        <v>GET</v>
      </c>
      <c r="B56" s="11" t="str">
        <v>/api/cash</v>
      </c>
      <c r="C56" s="4"/>
      <c r="D56" s="12" t="str">
        <v>inventory_stock</v>
      </c>
    </row>
    <row r="57" ht="23" customHeight="1">
      <c r="A57" s="10" t="str">
        <v>POST</v>
      </c>
      <c r="B57" s="11" t="str">
        <v>/api/cash/:id/actions</v>
      </c>
      <c r="C57" s="4"/>
      <c r="D57" s="12" t="str">
        <v>inventory_transfer_events</v>
      </c>
    </row>
    <row r="58" ht="23" customHeight="1">
      <c r="A58" s="10" t="str">
        <v>GET</v>
      </c>
      <c r="B58" s="11" t="str">
        <v>/api/commercial-returns</v>
      </c>
      <c r="C58" s="4"/>
      <c r="D58" s="12" t="str">
        <v>inventory_transfer_lines</v>
      </c>
    </row>
    <row r="59" ht="23" customHeight="1">
      <c r="A59" s="10" t="str">
        <v>POST</v>
      </c>
      <c r="B59" s="11" t="str">
        <v>/api/commercial-returns/:id/actions</v>
      </c>
      <c r="C59" s="4"/>
      <c r="D59" s="12" t="str">
        <v>inventory_transfers</v>
      </c>
    </row>
    <row r="60" ht="23" customHeight="1">
      <c r="A60" s="10" t="str">
        <v>POST</v>
      </c>
      <c r="B60" s="11" t="str">
        <v>/api/financial-commands/status</v>
      </c>
      <c r="C60" s="4"/>
      <c r="D60" s="12" t="str">
        <v>location_audit</v>
      </c>
    </row>
    <row r="61" ht="23" customHeight="1">
      <c r="A61" s="10" t="str">
        <v>GET</v>
      </c>
      <c r="B61" s="11" t="str">
        <v>/api/notifications</v>
      </c>
      <c r="C61" s="4"/>
      <c r="D61" s="12" t="str">
        <v>location_sharing</v>
      </c>
    </row>
    <row r="62" ht="23" customHeight="1">
      <c r="A62" s="10" t="str">
        <v>POST</v>
      </c>
      <c r="B62" s="11" t="str">
        <v>/api/notifications/read</v>
      </c>
      <c r="C62" s="4"/>
      <c r="D62" s="12" t="str">
        <v>merchants</v>
      </c>
    </row>
    <row r="63" ht="23" customHeight="1">
      <c r="A63" s="10" t="str">
        <v>POST</v>
      </c>
      <c r="B63" s="11" t="str">
        <v>/api/network/companies</v>
      </c>
      <c r="C63" s="4"/>
      <c r="D63" s="12" t="str">
        <v>network_audit</v>
      </c>
    </row>
    <row r="64" ht="23" customHeight="1">
      <c r="A64" s="10" t="str">
        <v>PATCH</v>
      </c>
      <c r="B64" s="11" t="str">
        <v>/api/network/companies/:id</v>
      </c>
      <c r="C64" s="4"/>
      <c r="D64" s="12" t="str">
        <v>notification_reads</v>
      </c>
    </row>
    <row r="65" ht="23" customHeight="1">
      <c r="A65" s="10" t="str">
        <v>POST</v>
      </c>
      <c r="B65" s="11" t="str">
        <v>/api/network/couriers</v>
      </c>
      <c r="C65" s="4"/>
      <c r="D65" s="12" t="str">
        <v>outbox</v>
      </c>
    </row>
    <row r="66" ht="23" customHeight="1">
      <c r="A66" s="10" t="str">
        <v>PATCH</v>
      </c>
      <c r="B66" s="11" t="str">
        <v>/api/network/couriers/:id</v>
      </c>
      <c r="C66" s="4"/>
      <c r="D66" s="12" t="str">
        <v>partner_audit</v>
      </c>
    </row>
    <row r="67" ht="23" customHeight="1">
      <c r="A67" s="10" t="str">
        <v>DELETE</v>
      </c>
      <c r="B67" s="11" t="str">
        <v>/api/network/couriers/:id</v>
      </c>
      <c r="C67" s="4"/>
      <c r="D67" s="12" t="str">
        <v>quotes</v>
      </c>
    </row>
    <row r="68" ht="23" customHeight="1">
      <c r="A68" s="10" t="str">
        <v>DELETE</v>
      </c>
      <c r="B68" s="11" t="str">
        <v>/api/network/sites/:id</v>
      </c>
      <c r="C68" s="4"/>
      <c r="D68" s="12" t="str">
        <v>received_events</v>
      </c>
    </row>
    <row r="69" ht="23" customHeight="1">
      <c r="A69" s="10" t="str">
        <v>GET</v>
      </c>
      <c r="B69" s="11" t="str">
        <v>/api/network/audit</v>
      </c>
      <c r="C69" s="4"/>
      <c r="D69" s="12" t="str">
        <v>schema_migrations</v>
      </c>
    </row>
    <row r="70" ht="23" customHeight="1">
      <c r="A70" s="10" t="str">
        <v>POST</v>
      </c>
      <c r="B70" s="11" t="str">
        <v>/api/network/pickup-sites</v>
      </c>
      <c r="C70" s="4"/>
      <c r="D70" s="12" t="str">
        <v>service_ratings</v>
      </c>
    </row>
    <row r="71" ht="23" customHeight="1">
      <c r="A71" s="10" t="str">
        <v>PATCH</v>
      </c>
      <c r="B71" s="11" t="str">
        <v>/api/network/pickup-sites/:id</v>
      </c>
      <c r="C71" s="4"/>
      <c r="D71" s="12" t="str">
        <v>shipments</v>
      </c>
    </row>
    <row r="72" ht="23" customHeight="1">
      <c r="A72" s="10" t="str">
        <v>GET</v>
      </c>
      <c r="B72" s="11" t="str">
        <v>/api/payouts</v>
      </c>
      <c r="C72" s="4"/>
      <c r="D72" s="12" t="str">
        <v>sites</v>
      </c>
    </row>
    <row r="73" ht="23" customHeight="1">
      <c r="A73" s="10" t="str">
        <v>POST</v>
      </c>
      <c r="B73" s="11" t="str">
        <v>/api/payouts</v>
      </c>
      <c r="C73" s="4"/>
      <c r="D73" s="12" t="str">
        <v>storefront_checkouts</v>
      </c>
    </row>
    <row r="74" ht="23" customHeight="1">
      <c r="A74" s="10" t="str">
        <v>POST</v>
      </c>
      <c r="B74" s="11" t="str">
        <v>/api/payouts/:id/actions</v>
      </c>
      <c r="C74" s="4"/>
      <c r="D74" s="12" t="str">
        <v>timeline</v>
      </c>
    </row>
    <row r="75" ht="23" customHeight="1">
      <c r="A75" s="10" t="str">
        <v>POST</v>
      </c>
      <c r="B75" s="11" t="str">
        <v>/api/refunds/:id/actions</v>
      </c>
      <c r="C75" s="4"/>
      <c r="D75" s="4"/>
    </row>
    <row r="76" ht="23" customHeight="1">
      <c r="A76" s="10" t="str">
        <v>GET</v>
      </c>
      <c r="B76" s="11" t="str">
        <v>/api/inventory</v>
      </c>
      <c r="C76" s="4"/>
      <c r="D76" s="4"/>
    </row>
    <row r="77" ht="23" customHeight="1">
      <c r="A77" s="10" t="str">
        <v>GET</v>
      </c>
      <c r="B77" s="11" t="str">
        <v>/api/inventory/sites</v>
      </c>
      <c r="C77" s="4"/>
      <c r="D77" s="4"/>
    </row>
    <row r="78" ht="23" customHeight="1">
      <c r="A78" s="10" t="str">
        <v>POST</v>
      </c>
      <c r="B78" s="11" t="str">
        <v>/api/inventory/sites</v>
      </c>
      <c r="C78" s="4"/>
      <c r="D78" s="4"/>
    </row>
    <row r="79" ht="23" customHeight="1">
      <c r="A79" s="10" t="str">
        <v>POST</v>
      </c>
      <c r="B79" s="11" t="str">
        <v>/api/inventory/sites/:id/products</v>
      </c>
      <c r="C79" s="4"/>
      <c r="D79" s="4"/>
    </row>
    <row r="80" ht="23" customHeight="1">
      <c r="A80" s="10" t="str">
        <v>GET</v>
      </c>
      <c r="B80" s="11" t="str">
        <v>/api/inventory/reconciliation</v>
      </c>
      <c r="C80" s="4"/>
      <c r="D80" s="4"/>
    </row>
    <row r="81" ht="23" customHeight="1">
      <c r="A81" s="10" t="str">
        <v>POST</v>
      </c>
      <c r="B81" s="11" t="str">
        <v>/api/inventory/receipts</v>
      </c>
      <c r="C81" s="4"/>
      <c r="D81" s="4"/>
    </row>
    <row r="82" ht="23" customHeight="1">
      <c r="A82" s="10" t="str">
        <v>POST</v>
      </c>
      <c r="B82" s="11" t="str">
        <v>/api/inventory/returns/:id/inspect</v>
      </c>
      <c r="C82" s="4"/>
      <c r="D82" s="4"/>
    </row>
    <row r="83" ht="23" customHeight="1">
      <c r="A83" s="10" t="str">
        <v>GET</v>
      </c>
      <c r="B83" s="11" t="str">
        <v>/api/inventory/counts</v>
      </c>
      <c r="C83" s="4"/>
      <c r="D83" s="4"/>
    </row>
    <row r="84" ht="23" customHeight="1">
      <c r="A84" s="10" t="str">
        <v>POST</v>
      </c>
      <c r="B84" s="11" t="str">
        <v>/api/inventory/counts</v>
      </c>
      <c r="C84" s="4"/>
      <c r="D84" s="4"/>
    </row>
    <row r="85" ht="23" customHeight="1">
      <c r="A85" s="10" t="str">
        <v>GET</v>
      </c>
      <c r="B85" s="11" t="str">
        <v>/api/inventory/transfers</v>
      </c>
      <c r="C85" s="4"/>
      <c r="D85" s="4"/>
    </row>
    <row r="86" ht="23" customHeight="1">
      <c r="A86" s="10" t="str">
        <v>POST</v>
      </c>
      <c r="B86" s="11" t="str">
        <v>/api/inventory/transfers</v>
      </c>
      <c r="C86" s="4"/>
      <c r="D86" s="4"/>
    </row>
    <row r="87" ht="23" customHeight="1">
      <c r="A87" s="10" t="str">
        <v>GET</v>
      </c>
      <c r="B87" s="11" t="str">
        <v>/api/inventory/transfers/:id</v>
      </c>
      <c r="C87" s="4"/>
      <c r="D87" s="4"/>
    </row>
    <row r="88" ht="23" customHeight="1">
      <c r="A88" s="10" t="str">
        <v>POST</v>
      </c>
      <c r="B88" s="11" t="str">
        <v>/api/inventory/transfers/:id/actions</v>
      </c>
      <c r="C88" s="4"/>
      <c r="D88" s="4"/>
    </row>
    <row r="89" ht="23" customHeight="1">
      <c r="A89" s="10" t="str">
        <v>GET</v>
      </c>
      <c r="B89" s="11" t="str">
        <v>/api/integration</v>
      </c>
      <c r="C89" s="4"/>
      <c r="D89" s="4"/>
    </row>
    <row r="90" ht="23" customHeight="1">
      <c r="A90" s="10" t="str">
        <v>GET</v>
      </c>
      <c r="B90" s="11" t="str">
        <v>/api/integration/events</v>
      </c>
      <c r="C90" s="4"/>
      <c r="D90" s="4"/>
    </row>
    <row r="91" ht="23" customHeight="1">
      <c r="A91" s="10" t="str">
        <v>POST</v>
      </c>
      <c r="B91" s="11" t="str">
        <v>/api/integration/events/:id/retry</v>
      </c>
      <c r="C91" s="4"/>
      <c r="D91" s="4"/>
    </row>
    <row r="92" ht="23" customHeight="1">
      <c r="A92" s="10" t="str">
        <v>GET</v>
      </c>
      <c r="B92" s="11" t="str">
        <v>/api/integration/reconciliation</v>
      </c>
      <c r="C92" s="4"/>
      <c r="D92" s="4"/>
    </row>
    <row r="93" ht="23" customHeight="1">
      <c r="A93" s="10" t="str">
        <v>POST</v>
      </c>
      <c r="B93" s="11" t="str">
        <v>/api/integration/reconciliation/:id/repair</v>
      </c>
      <c r="C93" s="4"/>
      <c r="D93" s="4"/>
    </row>
    <row r="94" ht="23" customHeight="1">
      <c r="A94" s="10" t="str">
        <v>POST</v>
      </c>
      <c r="B94" s="11" t="str">
        <v>/api/integration/receiver</v>
      </c>
      <c r="C94" s="4"/>
      <c r="D94" s="4"/>
    </row>
    <row r="95" ht="23" customHeight="1">
      <c r="A95" s="10" t="str">
        <v>POST</v>
      </c>
      <c r="B95" s="11" t="str">
        <v>/api/integration/flush</v>
      </c>
      <c r="C95" s="4"/>
      <c r="D95" s="4"/>
    </row>
    <row r="96" ht="23" customHeight="1">
      <c r="A96" s="10" t="str">
        <v>GET</v>
      </c>
      <c r="B96" s="11" t="str">
        <v>/api/execution-earnings</v>
      </c>
      <c r="C96" s="4"/>
      <c r="D96" s="4"/>
    </row>
    <row r="97" ht="23" customHeight="1">
      <c r="A97" s="10" t="str">
        <v>GET</v>
      </c>
      <c r="B97" s="11" t="str">
        <v>/api/demo/accounts</v>
      </c>
      <c r="C97" s="4"/>
      <c r="D97" s="4"/>
    </row>
    <row r="98" ht="23" customHeight="1">
      <c r="A98" s="10" t="str">
        <v>POST</v>
      </c>
      <c r="B98" s="11" t="str">
        <v>/api/demo/session</v>
      </c>
      <c r="C98" s="4"/>
      <c r="D98" s="4"/>
    </row>
    <row r="99" ht="23" customHeight="1">
      <c r="A99" s="10" t="str">
        <v>POST</v>
      </c>
      <c r="B99" s="11" t="str">
        <v>/api/demo-commerce/quotes</v>
      </c>
      <c r="C99" s="4"/>
      <c r="D99" s="4"/>
    </row>
    <row r="100" ht="23" customHeight="1">
      <c r="A100" s="10" t="str">
        <v>POST</v>
      </c>
      <c r="B100" s="11" t="str">
        <v>/api/demo-commerce/orders</v>
      </c>
      <c r="C100" s="4"/>
      <c r="D100" s="4"/>
    </row>
    <row r="101" ht="23" customHeight="1">
      <c r="A101" s="10" t="str">
        <v>POST</v>
      </c>
      <c r="B101" s="11" t="str">
        <v>/api/demo-commerce/webhook</v>
      </c>
      <c r="C101" s="4"/>
      <c r="D101" s="4"/>
    </row>
    <row r="102" ht="23" customHeight="1">
      <c r="A102" s="10" t="str">
        <v>GET</v>
      </c>
      <c r="B102" s="11" t="str">
        <v>/api/bootstrap</v>
      </c>
      <c r="C102" s="4"/>
      <c r="D102" s="4"/>
    </row>
    <row r="103" ht="23" customHeight="1">
      <c r="A103" s="10" t="str">
        <v>POST</v>
      </c>
      <c r="B103" s="11" t="str">
        <v>/api/v1/quotes</v>
      </c>
      <c r="C103" s="4"/>
      <c r="D103" s="4"/>
    </row>
    <row r="104" ht="23" customHeight="1">
      <c r="A104" s="10" t="str">
        <v>POST</v>
      </c>
      <c r="B104" s="11" t="str">
        <v>/api/v1/fulfillments</v>
      </c>
      <c r="C104" s="4"/>
      <c r="D104" s="4"/>
    </row>
    <row r="105" ht="23" customHeight="1">
      <c r="A105" s="10" t="str">
        <v>GET</v>
      </c>
      <c r="B105" s="11" t="str">
        <v>/api/v1/fulfillments/:id</v>
      </c>
      <c r="C105" s="4"/>
      <c r="D105" s="4"/>
    </row>
    <row r="106" ht="23" customHeight="1">
      <c r="A106" s="10" t="str">
        <v>GET</v>
      </c>
      <c r="B106" s="11" t="str">
        <v>/api/tracking/:token</v>
      </c>
      <c r="C106" s="4"/>
      <c r="D106" s="4"/>
    </row>
    <row r="107">
      <c r="A107" s="4"/>
      <c r="B107" s="4"/>
      <c r="C107" s="4"/>
      <c r="D107" s="4"/>
    </row>
    <row r="108">
      <c r="A108" s="4"/>
      <c r="B108" s="4"/>
      <c r="C108" s="4"/>
      <c r="D108" s="4"/>
    </row>
    <row r="109">
      <c r="A109" s="4"/>
      <c r="B109" s="4"/>
      <c r="C109" s="4"/>
      <c r="D109" s="4"/>
    </row>
    <row r="110">
      <c r="A110" s="4"/>
      <c r="B110" s="4"/>
      <c r="C110" s="4"/>
      <c r="D110" s="4"/>
    </row>
    <row r="111">
      <c r="A111" s="4"/>
      <c r="B111" s="4"/>
      <c r="C111" s="4"/>
      <c r="D111" s="4"/>
    </row>
    <row r="112">
      <c r="A112" s="4"/>
      <c r="B112" s="4"/>
      <c r="C112" s="4"/>
      <c r="D112" s="4"/>
    </row>
    <row r="113">
      <c r="A113" s="4"/>
      <c r="B113" s="4"/>
      <c r="C113" s="4"/>
      <c r="D113" s="4"/>
    </row>
    <row r="114">
      <c r="A114" s="4"/>
      <c r="B114" s="4"/>
      <c r="C114" s="4"/>
      <c r="D114" s="4"/>
    </row>
    <row r="115">
      <c r="A115" s="4"/>
      <c r="B115" s="4"/>
      <c r="C115" s="4"/>
      <c r="D115" s="4"/>
    </row>
    <row r="116">
      <c r="A116" s="4"/>
      <c r="B116" s="4"/>
      <c r="C116" s="4"/>
      <c r="D116" s="4"/>
    </row>
    <row r="117">
      <c r="A117" s="4"/>
      <c r="B117" s="4"/>
      <c r="C117" s="4"/>
      <c r="D117" s="4"/>
    </row>
    <row r="118">
      <c r="A118" s="4"/>
      <c r="B118" s="4"/>
      <c r="C118" s="4"/>
      <c r="D118" s="4"/>
    </row>
    <row r="119">
      <c r="A119" s="4"/>
      <c r="B119" s="4"/>
      <c r="C119" s="4"/>
      <c r="D119" s="4"/>
    </row>
    <row r="120">
      <c r="A120" s="4"/>
      <c r="B120" s="4"/>
      <c r="C120" s="4"/>
      <c r="D120" s="4"/>
    </row>
    <row r="121">
      <c r="A121" s="4"/>
      <c r="B121" s="4"/>
      <c r="C121" s="4"/>
      <c r="D121" s="4"/>
    </row>
    <row r="122">
      <c r="A122" s="4"/>
      <c r="B122" s="4"/>
      <c r="C122" s="4"/>
      <c r="D122" s="4"/>
    </row>
    <row r="123">
      <c r="A123" s="4"/>
      <c r="B123" s="4"/>
      <c r="C123" s="4"/>
      <c r="D123" s="4"/>
    </row>
    <row r="124">
      <c r="A124" s="4"/>
      <c r="B124" s="4"/>
      <c r="C124" s="4"/>
      <c r="D124" s="4"/>
    </row>
    <row r="125">
      <c r="A125" s="4"/>
      <c r="B125" s="4"/>
      <c r="C125" s="4"/>
      <c r="D125" s="4"/>
    </row>
    <row r="126">
      <c r="A126" s="4"/>
      <c r="B126" s="4"/>
      <c r="C126" s="4"/>
      <c r="D126" s="4"/>
    </row>
    <row r="127">
      <c r="A127" s="4"/>
      <c r="B127" s="4"/>
      <c r="C127" s="4"/>
      <c r="D127" s="4"/>
    </row>
    <row r="128">
      <c r="A128" s="4"/>
      <c r="B128" s="4"/>
      <c r="C128" s="4"/>
      <c r="D128" s="4"/>
    </row>
    <row r="129">
      <c r="A129" s="4"/>
      <c r="B129" s="4"/>
      <c r="C129" s="4"/>
      <c r="D129" s="4"/>
    </row>
    <row r="130">
      <c r="A130" s="4"/>
      <c r="B130" s="4"/>
      <c r="C130" s="4"/>
      <c r="D130" s="4"/>
    </row>
    <row r="131">
      <c r="A131" s="4"/>
      <c r="B131" s="4"/>
      <c r="C131" s="4"/>
      <c r="D131" s="4"/>
    </row>
    <row r="132">
      <c r="A132" s="4"/>
      <c r="B132" s="4"/>
      <c r="C132" s="4"/>
      <c r="D132" s="4"/>
    </row>
    <row r="133">
      <c r="A133" s="4"/>
      <c r="B133" s="4"/>
      <c r="C133" s="4"/>
      <c r="D133" s="4"/>
    </row>
    <row r="134">
      <c r="A134" s="4"/>
      <c r="B134" s="4"/>
      <c r="C134" s="4"/>
      <c r="D134" s="4"/>
    </row>
    <row r="135">
      <c r="A135" s="4"/>
      <c r="B135" s="4"/>
      <c r="C135" s="4"/>
      <c r="D135" s="4"/>
    </row>
  </sheetData>
  <mergeCells>
    <mergeCell ref="A2:D2"/>
    <mergeCell ref="A3:D3"/>
    <mergeCell ref="A23:D23"/>
    <mergeCell ref="A24:D25"/>
    <mergeCell ref="A27:D27"/>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83:C83"/>
    <mergeCell ref="B84:C84"/>
    <mergeCell ref="B85:C85"/>
    <mergeCell ref="B86:C86"/>
    <mergeCell ref="B87:C87"/>
    <mergeCell ref="B88:C88"/>
    <mergeCell ref="B89:C89"/>
    <mergeCell ref="B90:C90"/>
    <mergeCell ref="B91:C91"/>
    <mergeCell ref="B92:C92"/>
    <mergeCell ref="B93:C93"/>
    <mergeCell ref="B94:C94"/>
    <mergeCell ref="B95:C95"/>
    <mergeCell ref="B96:C96"/>
    <mergeCell ref="B97:C97"/>
    <mergeCell ref="B98:C98"/>
    <mergeCell ref="B99:C99"/>
    <mergeCell ref="B100:C100"/>
    <mergeCell ref="B101:C101"/>
    <mergeCell ref="B102:C102"/>
    <mergeCell ref="B103:C103"/>
    <mergeCell ref="B104:C104"/>
    <mergeCell ref="B105:C105"/>
    <mergeCell ref="B106:C106"/>
  </mergeCells>
  <pageMargins left="0.25" right="0.25" top="0.35" bottom="0.35" header="0.15" footer="0.15"/>
  <pageSetup paperSize="8" orientation="landscape" fitToWidth="1" fitToHeight="0"/>
</worksheet>
</file>